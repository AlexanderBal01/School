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l\Downloads\"/>
    </mc:Choice>
  </mc:AlternateContent>
  <xr:revisionPtr revIDLastSave="0" documentId="13_ncr:1_{F55EC302-5346-42FE-81FD-1A76E2EA21F1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Persoonlijke informatie" sheetId="1" r:id="rId1"/>
    <sheet name="Evaluatiecriteria 22-23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7" i="2" l="1"/>
  <c r="H47" i="2"/>
  <c r="G47" i="2"/>
  <c r="F47" i="2"/>
  <c r="E47" i="2"/>
  <c r="I43" i="2"/>
  <c r="H43" i="2"/>
  <c r="G43" i="2"/>
  <c r="F43" i="2"/>
  <c r="E43" i="2"/>
  <c r="I37" i="2"/>
  <c r="H37" i="2"/>
  <c r="G37" i="2"/>
  <c r="F37" i="2"/>
  <c r="E37" i="2"/>
  <c r="I33" i="2"/>
  <c r="H33" i="2"/>
  <c r="G33" i="2"/>
  <c r="F33" i="2"/>
  <c r="E33" i="2"/>
  <c r="I27" i="2"/>
  <c r="H27" i="2"/>
  <c r="G27" i="2"/>
  <c r="F27" i="2"/>
  <c r="E27" i="2"/>
  <c r="I22" i="2"/>
  <c r="H22" i="2"/>
  <c r="G22" i="2"/>
  <c r="F22" i="2"/>
  <c r="E22" i="2"/>
  <c r="I19" i="2"/>
  <c r="G19" i="2"/>
  <c r="F19" i="2"/>
  <c r="E19" i="2"/>
  <c r="I16" i="2"/>
  <c r="G16" i="2"/>
  <c r="F16" i="2"/>
  <c r="E16" i="2"/>
  <c r="I12" i="2"/>
  <c r="H12" i="2"/>
  <c r="G12" i="2"/>
  <c r="F12" i="2"/>
  <c r="E12" i="2"/>
  <c r="I7" i="2"/>
  <c r="H7" i="2"/>
  <c r="G7" i="2"/>
  <c r="F7" i="2"/>
  <c r="E7" i="2"/>
  <c r="I3" i="2"/>
  <c r="H3" i="2"/>
  <c r="G3" i="2"/>
  <c r="F3" i="2"/>
  <c r="E3" i="2"/>
  <c r="J19" i="2" l="1" a="1"/>
  <c r="J19" i="2" s="1"/>
  <c r="J43" i="2" a="1"/>
  <c r="J43" i="2" s="1"/>
  <c r="J37" i="2" a="1"/>
  <c r="J37" i="2" s="1"/>
  <c r="J33" i="2" a="1"/>
  <c r="J33" i="2" s="1"/>
  <c r="J27" i="2" a="1"/>
  <c r="J27" i="2" s="1"/>
  <c r="J16" i="2" a="1"/>
  <c r="J16" i="2" s="1"/>
  <c r="J12" i="2" a="1"/>
  <c r="J12" i="2" s="1"/>
  <c r="J7" i="2" a="1"/>
  <c r="J7" i="2" s="1"/>
  <c r="J22" i="2" a="1"/>
  <c r="J22" i="2" s="1"/>
  <c r="J47" i="2" a="1"/>
  <c r="J47" i="2" s="1"/>
  <c r="J3" i="2" a="1"/>
  <c r="J3" i="2" s="1"/>
  <c r="J53" i="2" l="1"/>
  <c r="J26" i="2"/>
  <c r="J54" i="2" l="1" a="1"/>
  <c r="J54" i="2" s="1"/>
</calcChain>
</file>

<file path=xl/sharedStrings.xml><?xml version="1.0" encoding="utf-8"?>
<sst xmlns="http://schemas.openxmlformats.org/spreadsheetml/2006/main" count="125" uniqueCount="88">
  <si>
    <t>Zelfevaluatie Research Methods 2022-2023</t>
  </si>
  <si>
    <t>Naam:</t>
  </si>
  <si>
    <t>Voornaam:</t>
  </si>
  <si>
    <t>Klasgroep (kies uit de lijst):</t>
  </si>
  <si>
    <t>Titel BP-voorstel:</t>
  </si>
  <si>
    <t>Coauteur (indien van toepassing):</t>
  </si>
  <si>
    <t>Component</t>
  </si>
  <si>
    <t>Criterium</t>
  </si>
  <si>
    <t>Indicatoren</t>
  </si>
  <si>
    <t>Kruis aan wat van toepassing is</t>
  </si>
  <si>
    <t>Ruim onvoldoende</t>
  </si>
  <si>
    <t>Onvoldoende</t>
  </si>
  <si>
    <t>Voldoende</t>
  </si>
  <si>
    <t>Goed</t>
  </si>
  <si>
    <t>Uitstekend</t>
  </si>
  <si>
    <t>Score /20</t>
  </si>
  <si>
    <t>IT</t>
  </si>
  <si>
    <t>Titel</t>
  </si>
  <si>
    <t>De OV kan uit de titel worden afgeleid.</t>
  </si>
  <si>
    <t>De onderzoeksdoelstelling kan uit de titel worden afgeleid.</t>
  </si>
  <si>
    <t xml:space="preserve">De titel bevat geen vakjargon. </t>
  </si>
  <si>
    <t xml:space="preserve">De titel bevat geen vakspecifieke afkortingen. </t>
  </si>
  <si>
    <t>Geschiktheid onderwerp</t>
  </si>
  <si>
    <t xml:space="preserve">Het werk is een onderzoeksvoorstel. </t>
  </si>
  <si>
    <t xml:space="preserve">Het onderwerp bevat een duidelijke technische (praktische) component waarmee je je competenties als ICT'er kan aantonen. </t>
  </si>
  <si>
    <t xml:space="preserve">Er is een duidelijke eigen bijdrage (bv. niet enkel een literatuurstudie, geen vooringenomen keuzes). </t>
  </si>
  <si>
    <t>Het onderwerp is actueel binnen ICT.</t>
  </si>
  <si>
    <t>Het voorstel is haalbaar op vlak van tijd, kennis en toegang tot de nodige data.</t>
  </si>
  <si>
    <t>Afbakening onderwerp</t>
  </si>
  <si>
    <t xml:space="preserve">Het onderwerp is concreet afgebakend. </t>
  </si>
  <si>
    <t>Er is een duidelijke onderzoeksvraag en -doelstelling.</t>
  </si>
  <si>
    <t xml:space="preserve">Het onderzoek start vanuit een reële of realistische probleemstelling of casus uit het werkveld. </t>
  </si>
  <si>
    <t xml:space="preserve">De doelgroep is heel specifiek. </t>
  </si>
  <si>
    <t>Opmaak literatuurlijst</t>
  </si>
  <si>
    <t>De literatuurlijst is aanwezig en opgemaakt volgens de APA-stijl</t>
  </si>
  <si>
    <t>n.v.t.</t>
  </si>
  <si>
    <t>Bij de bronnen is voldoende informatie aanwezig om ze terug te vinden (bv. auteur, publicatiejaar, urldate bij @online bronnen, ...)</t>
  </si>
  <si>
    <t>Er is zorg besteed aan het correct invullen van de bibliografische informatie (bv. GEEN TITELS IN ALL CAPS, URL's zijn opgeruimd (highlighting, referer/tracking info, geen Google Books URL's...), namen van organisaties zijn correct weergegeven (bv. "Internet Engineering Taskforce", niet "Taskforce, I.E.")</t>
  </si>
  <si>
    <t>Selectie bronnen</t>
  </si>
  <si>
    <t>De bronnen zijn geschikt voor een literatuurlijst (enkel secundaire bronnen, geen homepages van bedrijven of applicaties, geen *pedia-sites, geen fora, ...)</t>
  </si>
  <si>
    <t>De bronnen doorstaan de CRAAP-test, komen uit de vak- of wetenschappelijke literatuur en zijn gezaghebbend (geen "populariserende" werken, geen ongepast gebruik van  mainstream media, geen "Wat is &lt;vakterm&gt;")</t>
  </si>
  <si>
    <t>Er worden diverse bronnen gebruikt (technisch boek, wetenschappelijk artikel, zowel Engelstalige als Nederlandstalige literatuur, online en fysieke bronnen ...), niet enkel "@online"</t>
  </si>
  <si>
    <t>Methodologie</t>
  </si>
  <si>
    <t>Het onderzoek is opgedeeld in verschillende fasen.</t>
  </si>
  <si>
    <t>Bij elke fase is duidelijk wat het eindresultaat is (deliverable).</t>
  </si>
  <si>
    <t>In elke fase wordt de aanpak/onderzoeksmethode duidelijk uitgelegd.</t>
  </si>
  <si>
    <t>Er is een planning opgemaakt (flowchart of Gantt-diagram).</t>
  </si>
  <si>
    <t>TOTAALSCORE IT</t>
  </si>
  <si>
    <t>Taal</t>
  </si>
  <si>
    <t>Literatuurverwijzingen</t>
  </si>
  <si>
    <t>Er wordt voldoende (vaak) gerefereerd aan de bronnen (introductie vakterm, citaat/parafraseren bron, overgenomen figuren, bij elke bewering), i.e. telkens wanneer nodig is.</t>
  </si>
  <si>
    <t>Verwijzingen bevinden zich op de juiste plaats in de tekst (bijv. niet enkel aan het einde van een paragraaf, maar meteen nadat de informatie aan bod kwam).</t>
  </si>
  <si>
    <t>De referenties in de tekst zijn opgemaakt volgens de APA-stijl (Auteur, Publicatiejaar)</t>
  </si>
  <si>
    <r>
      <rPr>
        <sz val="11"/>
        <color rgb="FF000000"/>
        <rFont val="Montserrat"/>
        <charset val="1"/>
      </rPr>
      <t xml:space="preserve">Er zijn geen ontbrekende bronnen in de referentielijst (in de PDF aangegeven met de "citationkey" in het vet, bv. </t>
    </r>
    <r>
      <rPr>
        <b/>
        <sz val="11"/>
        <color rgb="FF000000"/>
        <rFont val="Montserrat"/>
        <charset val="1"/>
      </rPr>
      <t>AuteurJaar</t>
    </r>
    <r>
      <rPr>
        <sz val="11"/>
        <color rgb="FF000000"/>
        <rFont val="Montserrat"/>
        <charset val="1"/>
      </rPr>
      <t>).</t>
    </r>
  </si>
  <si>
    <t xml:space="preserve">De inhoud van de bronnen wordt getrouw weergegeven (niet uit context). </t>
  </si>
  <si>
    <t xml:space="preserve">Narratieve verwijzingen en verwijzingen tussen haakjes wisselen elkaar af in de tekst. </t>
  </si>
  <si>
    <t>Taalgebruik</t>
  </si>
  <si>
    <t>Het taalgebruik is formeel / schrijftaal (geen stopwoorden, kromme constructies, …)</t>
  </si>
  <si>
    <t xml:space="preserve">De woordkeuze is concreet en specifiek. </t>
  </si>
  <si>
    <t xml:space="preserve">Het antecedent van verwijswoorden is steeds duidelijk en eenduidig. </t>
  </si>
  <si>
    <t>2/3 of meer van de zinnen zijn actieve zinnen.</t>
  </si>
  <si>
    <t>Structuur</t>
  </si>
  <si>
    <t>De tekst is coherent (er is een rode draad, duidelijke samenhang).</t>
  </si>
  <si>
    <t xml:space="preserve">De hoofdvragen per onderdeel worden beantwoord. </t>
  </si>
  <si>
    <t>De tekst is opgedeeld in alinea's.</t>
  </si>
  <si>
    <t xml:space="preserve">De tekst bevat oriënterende en samenvattende alinea's. </t>
  </si>
  <si>
    <t xml:space="preserve">De overgangen tussen de alinea's worden door signaalwoorden aangegeven. </t>
  </si>
  <si>
    <t xml:space="preserve">De oriënterende/samenvattende alinea's benadrukken steeds de relevantie van de inhoud voor de onderzoeksvraag. </t>
  </si>
  <si>
    <t>Vorm (spelling, leestekens, formulering)</t>
  </si>
  <si>
    <t>De tekst bevat geen storende spel- of tikfouten.</t>
  </si>
  <si>
    <t xml:space="preserve">Leestekens worden correct gebruikt. </t>
  </si>
  <si>
    <t>De student schrijft correcte (complexe) zinnen (voorzetsels, werkwoorden, congruentie …).</t>
  </si>
  <si>
    <t xml:space="preserve">De tekst is geschreven in het Standaardnederlands. </t>
  </si>
  <si>
    <t>Abstract</t>
  </si>
  <si>
    <t>Het abstract is geschreven in formele schrijftaal.</t>
  </si>
  <si>
    <t>De student maakt gebruik van de taalstrategieën om coherentie te ondersteunen: signaalwoorden, referentiewoorden, strategisch gebruik van synoniemen.</t>
  </si>
  <si>
    <t>De werkwoordstijden zijn correct.</t>
  </si>
  <si>
    <t xml:space="preserve">Het abstract beantwoordt de kernvragen. </t>
  </si>
  <si>
    <t>De kernvragen worden in de verwachte volgorde beantwoord.</t>
  </si>
  <si>
    <t>Het abstract is van de hand van de student zelf (niet gegenereerd met ChatGPT of andere generatieve AI tools).</t>
  </si>
  <si>
    <t>TOTAALSCORE TAAL</t>
  </si>
  <si>
    <t>TOTAALSCORE RM</t>
  </si>
  <si>
    <t xml:space="preserve">Alexander
</t>
  </si>
  <si>
    <t>Bal</t>
  </si>
  <si>
    <t>TIATP/S2</t>
  </si>
  <si>
    <t>Burak Balci</t>
  </si>
  <si>
    <t xml:space="preserve">Hoe kunnen IoT-sensoren worden gebuikt om gevaarlijke wegomstandigheden te detecteren, deze informatie te delen met bestuurders en stadsplanners om de veiligheid te verbeteren?
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</si>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</sst>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color rgb="FF000000"/>
      <name val="Montserrat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Montserrat"/>
      <charset val="1"/>
    </font>
    <font>
      <sz val="11"/>
      <color rgb="FF000000"/>
      <name val="Montserrat ExtraBold"/>
      <charset val="1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EDEDED"/>
      </patternFill>
    </fill>
    <fill>
      <patternFill patternType="solid">
        <fgColor rgb="FFEDEDED"/>
        <bgColor rgb="FFF2F2F2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4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4" fillId="3" borderId="13" xfId="0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4" fillId="3" borderId="8" xfId="0" applyFont="1" applyFill="1" applyBorder="1" applyAlignment="1">
      <alignment horizontal="center" wrapText="1"/>
    </xf>
    <xf numFmtId="0" fontId="4" fillId="3" borderId="15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2" borderId="32" xfId="0" applyFont="1" applyFill="1" applyBorder="1" applyAlignment="1">
      <alignment wrapText="1"/>
    </xf>
    <xf numFmtId="0" fontId="3" fillId="0" borderId="12" xfId="0" applyFont="1" applyBorder="1" applyAlignment="1">
      <alignment horizontal="center" vertical="center" wrapText="1"/>
    </xf>
    <xf numFmtId="0" fontId="1" fillId="0" borderId="18" xfId="0" applyFont="1" applyBorder="1" applyAlignment="1">
      <alignment wrapText="1"/>
    </xf>
    <xf numFmtId="0" fontId="1" fillId="0" borderId="3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38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wrapText="1"/>
    </xf>
    <xf numFmtId="0" fontId="1" fillId="0" borderId="45" xfId="0" applyFont="1" applyBorder="1" applyAlignment="1">
      <alignment wrapText="1"/>
    </xf>
    <xf numFmtId="0" fontId="3" fillId="0" borderId="43" xfId="0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Standaard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2F2F2"/>
      </font>
      <fill>
        <patternFill>
          <bgColor rgb="FFC00000"/>
        </patternFill>
      </fill>
    </dxf>
    <dxf>
      <font>
        <color rgb="FFF2F2F2"/>
      </font>
      <fill>
        <patternFill>
          <bgColor rgb="FF00B050"/>
        </patternFill>
      </fill>
    </dxf>
    <dxf>
      <font>
        <color rgb="FF385724"/>
      </font>
      <fill>
        <patternFill>
          <bgColor rgb="FFE2F0D9"/>
        </patternFill>
      </fill>
    </dxf>
    <dxf>
      <font>
        <color rgb="FFC00000"/>
      </font>
      <fill>
        <patternFill>
          <bgColor rgb="FFFBE5D6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10" zoomScaleNormal="110" workbookViewId="0">
      <selection activeCell="D11" sqref="D11"/>
    </sheetView>
  </sheetViews>
  <sheetFormatPr defaultColWidth="10.85546875" defaultRowHeight="18" x14ac:dyDescent="0.35"/>
  <cols>
    <col min="1" max="1" width="24.7109375" style="1" customWidth="1"/>
    <col min="2" max="2" width="74.42578125" style="1" customWidth="1"/>
    <col min="3" max="16384" width="10.85546875" style="1"/>
  </cols>
  <sheetData>
    <row r="1" spans="1:2" ht="19.5" x14ac:dyDescent="0.35">
      <c r="A1" s="2" t="s">
        <v>0</v>
      </c>
      <c r="B1"/>
    </row>
    <row r="2" spans="1:2" x14ac:dyDescent="0.35">
      <c r="A2"/>
      <c r="B2"/>
    </row>
    <row r="3" spans="1:2" x14ac:dyDescent="0.35">
      <c r="A3" s="3" t="s">
        <v>1</v>
      </c>
      <c r="B3" s="4" t="s">
        <v>83</v>
      </c>
    </row>
    <row r="4" spans="1:2" ht="36" x14ac:dyDescent="0.35">
      <c r="A4" s="5" t="s">
        <v>2</v>
      </c>
      <c r="B4" s="6" t="s">
        <v>82</v>
      </c>
    </row>
    <row r="5" spans="1:2" ht="36" x14ac:dyDescent="0.35">
      <c r="A5" s="5" t="s">
        <v>3</v>
      </c>
      <c r="B5" s="6" t="s">
        <v>84</v>
      </c>
    </row>
    <row r="6" spans="1:2" ht="72" x14ac:dyDescent="0.35">
      <c r="A6" s="5" t="s">
        <v>4</v>
      </c>
      <c r="B6" s="6" t="s">
        <v>86</v>
      </c>
    </row>
    <row r="7" spans="1:2" ht="36" x14ac:dyDescent="0.35">
      <c r="A7" s="7" t="s">
        <v>5</v>
      </c>
      <c r="B7" s="8" t="s">
        <v>85</v>
      </c>
    </row>
  </sheetData>
  <dataValidations count="1">
    <dataValidation type="list" operator="equal" allowBlank="1" showErrorMessage="1" sqref="B5" xr:uid="{00000000-0002-0000-0000-000000000000}">
      <formula1>"TI/A2.A,TI/A2.B,TI/A2.C,TI/A2.D,TI/A2.E,TI/A2.F,TI/G2A1,TI/G2A2,TI/G2A3,TI/G2B1,TI/G2C1,TI/G2C2,TI/G2D1,TI/G2E1,TI/G2E2,TI/G2F1,TI/VC2.01,TI/VCATP/S2,TIAO/2A,TIAOATN/S2,TIAOATP/S2,TIATP/S2"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zoomScaleNormal="100" workbookViewId="0">
      <pane ySplit="1" topLeftCell="A2" activePane="bottomLeft" state="frozen"/>
      <selection pane="bottomLeft" activeCell="N49" sqref="N49"/>
    </sheetView>
  </sheetViews>
  <sheetFormatPr defaultColWidth="10.85546875" defaultRowHeight="18" x14ac:dyDescent="0.35"/>
  <cols>
    <col min="1" max="1" width="14" style="1" customWidth="1"/>
    <col min="2" max="2" width="26.42578125" style="1" customWidth="1"/>
    <col min="3" max="3" width="57.5703125" style="1" customWidth="1"/>
    <col min="4" max="4" width="18" style="1" customWidth="1"/>
    <col min="5" max="9" width="13.85546875" style="1" customWidth="1"/>
    <col min="10" max="10" width="18.140625" style="1" customWidth="1"/>
    <col min="11" max="11" width="17.28515625" style="1" customWidth="1"/>
    <col min="12" max="16384" width="10.85546875" style="1"/>
  </cols>
  <sheetData>
    <row r="1" spans="1:10" ht="48.75" customHeight="1" x14ac:dyDescent="0.35">
      <c r="A1" s="9" t="s">
        <v>6</v>
      </c>
      <c r="B1" s="10" t="s">
        <v>7</v>
      </c>
      <c r="C1" s="11" t="s">
        <v>8</v>
      </c>
      <c r="D1" s="10" t="s">
        <v>9</v>
      </c>
      <c r="E1" s="12" t="s">
        <v>10</v>
      </c>
      <c r="F1" s="10" t="s">
        <v>11</v>
      </c>
      <c r="G1" s="10" t="s">
        <v>12</v>
      </c>
      <c r="H1" s="10" t="s">
        <v>13</v>
      </c>
      <c r="I1" s="13" t="s">
        <v>14</v>
      </c>
      <c r="J1" s="14" t="s">
        <v>15</v>
      </c>
    </row>
    <row r="2" spans="1:10" ht="21" customHeight="1" x14ac:dyDescent="0.35">
      <c r="A2" s="12"/>
      <c r="B2" s="12"/>
      <c r="C2" s="15"/>
      <c r="D2" s="16"/>
      <c r="E2" s="17">
        <v>4</v>
      </c>
      <c r="F2" s="17">
        <v>8</v>
      </c>
      <c r="G2" s="17">
        <v>11</v>
      </c>
      <c r="H2" s="17">
        <v>15</v>
      </c>
      <c r="I2" s="18">
        <v>18</v>
      </c>
      <c r="J2" s="19"/>
    </row>
    <row r="3" spans="1:10" ht="15.75" customHeight="1" x14ac:dyDescent="0.35">
      <c r="A3" s="74" t="s">
        <v>16</v>
      </c>
      <c r="B3" s="75" t="s">
        <v>17</v>
      </c>
      <c r="C3" s="20" t="s">
        <v>18</v>
      </c>
      <c r="D3" s="21" t="s">
        <v>87</v>
      </c>
      <c r="E3" s="62">
        <f>IF(COUNTBLANK(D3:D6)=4,1,0)</f>
        <v>0</v>
      </c>
      <c r="F3" s="62">
        <f>IF(COUNTBLANK(D3:D6)=3,1,0)</f>
        <v>0</v>
      </c>
      <c r="G3" s="62">
        <f>IF(COUNTBLANK(D3:D6)=2,1,0)</f>
        <v>1</v>
      </c>
      <c r="H3" s="62">
        <f>IF(COUNTBLANK(D3:D6)=1,1,0)</f>
        <v>0</v>
      </c>
      <c r="I3" s="63">
        <f>IF(COUNTBLANK(D3:D6)=0,1,0)</f>
        <v>0</v>
      </c>
      <c r="J3" s="64">
        <f t="array" ref="J3">_xlfn.IFS(E3=1, E2,F3=1, F2, G3=1, G2,H3=1, H2,I3=1,I2)</f>
        <v>11</v>
      </c>
    </row>
    <row r="4" spans="1:10" ht="30" customHeight="1" x14ac:dyDescent="0.35">
      <c r="A4" s="74"/>
      <c r="B4" s="75"/>
      <c r="C4" s="1" t="s">
        <v>19</v>
      </c>
      <c r="D4" s="22" t="s">
        <v>87</v>
      </c>
      <c r="E4" s="62"/>
      <c r="F4" s="62"/>
      <c r="G4" s="62"/>
      <c r="H4" s="62"/>
      <c r="I4" s="63"/>
      <c r="J4" s="64"/>
    </row>
    <row r="5" spans="1:10" x14ac:dyDescent="0.35">
      <c r="A5" s="74"/>
      <c r="B5" s="75"/>
      <c r="C5" s="1" t="s">
        <v>20</v>
      </c>
      <c r="D5" s="22"/>
      <c r="E5" s="62"/>
      <c r="F5" s="62"/>
      <c r="G5" s="62"/>
      <c r="H5" s="62"/>
      <c r="I5" s="63"/>
      <c r="J5" s="64"/>
    </row>
    <row r="6" spans="1:10" x14ac:dyDescent="0.35">
      <c r="A6" s="74"/>
      <c r="B6" s="75"/>
      <c r="C6" s="23" t="s">
        <v>21</v>
      </c>
      <c r="D6" s="24"/>
      <c r="E6" s="62"/>
      <c r="F6" s="62"/>
      <c r="G6" s="62"/>
      <c r="H6" s="62"/>
      <c r="I6" s="63"/>
      <c r="J6" s="64"/>
    </row>
    <row r="7" spans="1:10" ht="15.75" customHeight="1" x14ac:dyDescent="0.35">
      <c r="A7" s="74"/>
      <c r="B7" s="73" t="s">
        <v>22</v>
      </c>
      <c r="C7" s="25" t="s">
        <v>23</v>
      </c>
      <c r="D7" s="26" t="s">
        <v>87</v>
      </c>
      <c r="E7" s="66">
        <f>IF(OR(COUNTBLANK(D7:D11)=4,COUNTBLANK(D7:D11)=5),1,0)</f>
        <v>0</v>
      </c>
      <c r="F7" s="54">
        <f>IF(COUNTBLANK(D7:D11)=3,1,0)</f>
        <v>0</v>
      </c>
      <c r="G7" s="54">
        <f>IF(COUNTBLANK(D7:D11)=2,1,0)</f>
        <v>0</v>
      </c>
      <c r="H7" s="54">
        <f>IF(COUNTBLANK(D7:D11)=1,1,0)</f>
        <v>1</v>
      </c>
      <c r="I7" s="55">
        <f>IF(COUNTBLANK(D7:D11)=0,1,0)</f>
        <v>0</v>
      </c>
      <c r="J7" s="56">
        <f t="array" ref="J7">_xlfn.IFS(E7=1, E2,F7=1, F2, G7=1, G2,H7=1, H2,I7=1,I2)</f>
        <v>15</v>
      </c>
    </row>
    <row r="8" spans="1:10" ht="54" x14ac:dyDescent="0.35">
      <c r="A8" s="74"/>
      <c r="B8" s="73"/>
      <c r="C8" s="1" t="s">
        <v>24</v>
      </c>
      <c r="D8" s="22" t="s">
        <v>87</v>
      </c>
      <c r="E8" s="66"/>
      <c r="F8" s="54"/>
      <c r="G8" s="54"/>
      <c r="H8" s="54"/>
      <c r="I8" s="55"/>
      <c r="J8" s="56"/>
    </row>
    <row r="9" spans="1:10" ht="36" x14ac:dyDescent="0.35">
      <c r="A9" s="74"/>
      <c r="B9" s="73"/>
      <c r="C9" s="1" t="s">
        <v>25</v>
      </c>
      <c r="D9" s="22" t="s">
        <v>87</v>
      </c>
      <c r="E9" s="66"/>
      <c r="F9" s="54"/>
      <c r="G9" s="54"/>
      <c r="H9" s="54"/>
      <c r="I9" s="55"/>
      <c r="J9" s="56"/>
    </row>
    <row r="10" spans="1:10" x14ac:dyDescent="0.35">
      <c r="A10" s="74"/>
      <c r="B10" s="73"/>
      <c r="C10" s="1" t="s">
        <v>26</v>
      </c>
      <c r="D10" s="22" t="s">
        <v>87</v>
      </c>
      <c r="E10" s="66"/>
      <c r="F10" s="54"/>
      <c r="G10" s="54"/>
      <c r="H10" s="54"/>
      <c r="I10" s="55"/>
      <c r="J10" s="56"/>
    </row>
    <row r="11" spans="1:10" ht="36" x14ac:dyDescent="0.35">
      <c r="A11" s="74"/>
      <c r="B11" s="73"/>
      <c r="C11" s="1" t="s">
        <v>27</v>
      </c>
      <c r="D11" s="24"/>
      <c r="E11" s="66"/>
      <c r="F11" s="54"/>
      <c r="G11" s="54"/>
      <c r="H11" s="54"/>
      <c r="I11" s="55"/>
      <c r="J11" s="56"/>
    </row>
    <row r="12" spans="1:10" ht="15.75" customHeight="1" x14ac:dyDescent="0.35">
      <c r="A12" s="74"/>
      <c r="B12" s="72" t="s">
        <v>28</v>
      </c>
      <c r="C12" s="25" t="s">
        <v>29</v>
      </c>
      <c r="D12" s="26"/>
      <c r="E12" s="66">
        <f>IF(COUNTBLANK(D12:D15)=4,1,0)</f>
        <v>0</v>
      </c>
      <c r="F12" s="54">
        <f>IF(COUNTBLANK(D12:D15)=3,1,0)</f>
        <v>0</v>
      </c>
      <c r="G12" s="54">
        <f>IF(COUNTBLANK(D12:D15)=2,1,0)</f>
        <v>1</v>
      </c>
      <c r="H12" s="54">
        <f>IF(COUNTBLANK(D12:D15)=1,1,0)</f>
        <v>0</v>
      </c>
      <c r="I12" s="55">
        <f>IF(COUNTBLANK(D12:D15)=0,1,0)</f>
        <v>0</v>
      </c>
      <c r="J12" s="56">
        <f t="array" ref="J12">_xlfn.IFS(E12=1, E2,F12=1, F2, G12=1, G2,H12=1, H2,I12=1,I2)</f>
        <v>11</v>
      </c>
    </row>
    <row r="13" spans="1:10" ht="18" customHeight="1" x14ac:dyDescent="0.35">
      <c r="A13" s="74"/>
      <c r="B13" s="72"/>
      <c r="C13" s="1" t="s">
        <v>30</v>
      </c>
      <c r="D13" s="22" t="s">
        <v>87</v>
      </c>
      <c r="E13" s="66"/>
      <c r="F13" s="54"/>
      <c r="G13" s="54"/>
      <c r="H13" s="54"/>
      <c r="I13" s="55"/>
      <c r="J13" s="56"/>
    </row>
    <row r="14" spans="1:10" ht="36" x14ac:dyDescent="0.35">
      <c r="A14" s="74"/>
      <c r="B14" s="72"/>
      <c r="C14" s="1" t="s">
        <v>31</v>
      </c>
      <c r="D14" s="22" t="s">
        <v>87</v>
      </c>
      <c r="E14" s="66"/>
      <c r="F14" s="54"/>
      <c r="G14" s="54"/>
      <c r="H14" s="54"/>
      <c r="I14" s="55"/>
      <c r="J14" s="56"/>
    </row>
    <row r="15" spans="1:10" x14ac:dyDescent="0.35">
      <c r="A15" s="74"/>
      <c r="B15" s="72"/>
      <c r="C15" s="23" t="s">
        <v>32</v>
      </c>
      <c r="D15" s="24"/>
      <c r="E15" s="66"/>
      <c r="F15" s="54"/>
      <c r="G15" s="54"/>
      <c r="H15" s="54"/>
      <c r="I15" s="55"/>
      <c r="J15" s="56"/>
    </row>
    <row r="16" spans="1:10" ht="31.5" customHeight="1" x14ac:dyDescent="0.35">
      <c r="A16" s="74"/>
      <c r="B16" s="72" t="s">
        <v>33</v>
      </c>
      <c r="C16" s="1" t="s">
        <v>34</v>
      </c>
      <c r="D16" s="22" t="s">
        <v>87</v>
      </c>
      <c r="E16" s="66">
        <f>IF(COUNTBLANK(D16:D18)=3,1,0)</f>
        <v>0</v>
      </c>
      <c r="F16" s="54">
        <f>IF(COUNTBLANK(D16:D18)=2,1,0)</f>
        <v>0</v>
      </c>
      <c r="G16" s="54">
        <f>IF(COUNTBLANK(D16:D18)=1,1,0)</f>
        <v>0</v>
      </c>
      <c r="H16" s="54" t="s">
        <v>35</v>
      </c>
      <c r="I16" s="55">
        <f>IF(COUNTBLANK(D16:D18)=0,1,0)</f>
        <v>1</v>
      </c>
      <c r="J16" s="56">
        <f t="array" ref="J16">_xlfn.IFS(E16=1, E2,F16=1, F2, G16=1, G2,H16=1, H2,I16=1,I2)</f>
        <v>18</v>
      </c>
    </row>
    <row r="17" spans="1:10" ht="54" x14ac:dyDescent="0.35">
      <c r="A17" s="74"/>
      <c r="B17" s="72"/>
      <c r="C17" s="1" t="s">
        <v>36</v>
      </c>
      <c r="D17" s="22" t="s">
        <v>87</v>
      </c>
      <c r="E17" s="66"/>
      <c r="F17" s="54"/>
      <c r="G17" s="54"/>
      <c r="H17" s="54"/>
      <c r="I17" s="55"/>
      <c r="J17" s="56"/>
    </row>
    <row r="18" spans="1:10" ht="92.25" customHeight="1" x14ac:dyDescent="0.35">
      <c r="A18" s="74"/>
      <c r="B18" s="72"/>
      <c r="C18" s="1" t="s">
        <v>37</v>
      </c>
      <c r="D18" s="22" t="s">
        <v>87</v>
      </c>
      <c r="E18" s="66"/>
      <c r="F18" s="54"/>
      <c r="G18" s="54"/>
      <c r="H18" s="54"/>
      <c r="I18" s="55"/>
      <c r="J18" s="56"/>
    </row>
    <row r="19" spans="1:10" ht="48" customHeight="1" x14ac:dyDescent="0.35">
      <c r="A19" s="74"/>
      <c r="B19" s="76" t="s">
        <v>38</v>
      </c>
      <c r="C19" s="27" t="s">
        <v>39</v>
      </c>
      <c r="D19" s="26" t="s">
        <v>87</v>
      </c>
      <c r="E19" s="66">
        <f>IF(COUNTBLANK(D19:D21)=3,1,0)</f>
        <v>0</v>
      </c>
      <c r="F19" s="54">
        <f>IF(COUNTBLANK(D19:D21)=2,1,0)</f>
        <v>0</v>
      </c>
      <c r="G19" s="54">
        <f>IF(COUNTBLANK(D19:D21)=1,1,0)</f>
        <v>1</v>
      </c>
      <c r="H19" s="54" t="s">
        <v>35</v>
      </c>
      <c r="I19" s="55">
        <f>IF(COUNTBLANK(D19:D21)=0,1,0)</f>
        <v>0</v>
      </c>
      <c r="J19" s="56">
        <f t="array" ref="J19">_xlfn.IFS(E19=1, E2,F19=1, F2, G19=1, G2,H19=1, H2,I19=1,I2)</f>
        <v>11</v>
      </c>
    </row>
    <row r="20" spans="1:10" ht="90" x14ac:dyDescent="0.35">
      <c r="A20" s="74"/>
      <c r="B20" s="76"/>
      <c r="C20" s="1" t="s">
        <v>40</v>
      </c>
      <c r="D20" s="22" t="s">
        <v>87</v>
      </c>
      <c r="E20" s="66"/>
      <c r="F20" s="54"/>
      <c r="G20" s="54"/>
      <c r="H20" s="54"/>
      <c r="I20" s="55"/>
      <c r="J20" s="56"/>
    </row>
    <row r="21" spans="1:10" ht="72" x14ac:dyDescent="0.35">
      <c r="A21" s="74"/>
      <c r="B21" s="76"/>
      <c r="C21" s="1" t="s">
        <v>41</v>
      </c>
      <c r="D21" s="24"/>
      <c r="E21" s="66"/>
      <c r="F21" s="54"/>
      <c r="G21" s="54"/>
      <c r="H21" s="54"/>
      <c r="I21" s="55"/>
      <c r="J21" s="56"/>
    </row>
    <row r="22" spans="1:10" ht="15.75" customHeight="1" x14ac:dyDescent="0.35">
      <c r="A22" s="74"/>
      <c r="B22" s="70" t="s">
        <v>42</v>
      </c>
      <c r="C22" s="25" t="s">
        <v>43</v>
      </c>
      <c r="D22" s="26" t="s">
        <v>87</v>
      </c>
      <c r="E22" s="58">
        <f>IF(COUNTBLANK(D22:D25)=4,1,0)</f>
        <v>0</v>
      </c>
      <c r="F22" s="59">
        <f>IF(COUNTBLANK(D22:D25)=3,1,0)</f>
        <v>0</v>
      </c>
      <c r="G22" s="59">
        <f>IF(COUNTBLANK(D22:D25)=2,1,0)</f>
        <v>0</v>
      </c>
      <c r="H22" s="59">
        <f>IF(COUNTBLANK(D22:D25)=1,1,0)</f>
        <v>0</v>
      </c>
      <c r="I22" s="60">
        <f>IF(COUNTBLANK(D22:D25)=0,1,0)</f>
        <v>1</v>
      </c>
      <c r="J22" s="61">
        <f t="array" ref="J22">_xlfn.IFS(E22=1, E2,F22=1, F2, G22=1, G2,H22=1, H2,I22=1,I2)</f>
        <v>18</v>
      </c>
    </row>
    <row r="23" spans="1:10" ht="36" x14ac:dyDescent="0.35">
      <c r="A23" s="74"/>
      <c r="B23" s="70"/>
      <c r="C23" s="1" t="s">
        <v>44</v>
      </c>
      <c r="D23" s="22" t="s">
        <v>87</v>
      </c>
      <c r="E23" s="58"/>
      <c r="F23" s="59"/>
      <c r="G23" s="59"/>
      <c r="H23" s="59"/>
      <c r="I23" s="60"/>
      <c r="J23" s="61"/>
    </row>
    <row r="24" spans="1:10" ht="36" x14ac:dyDescent="0.35">
      <c r="A24" s="74"/>
      <c r="B24" s="70"/>
      <c r="C24" s="1" t="s">
        <v>45</v>
      </c>
      <c r="D24" s="22" t="s">
        <v>87</v>
      </c>
      <c r="E24" s="58"/>
      <c r="F24" s="59"/>
      <c r="G24" s="59"/>
      <c r="H24" s="59"/>
      <c r="I24" s="60"/>
      <c r="J24" s="61"/>
    </row>
    <row r="25" spans="1:10" ht="36" x14ac:dyDescent="0.35">
      <c r="A25" s="74"/>
      <c r="B25" s="70"/>
      <c r="C25" s="28" t="s">
        <v>46</v>
      </c>
      <c r="D25" s="29" t="s">
        <v>87</v>
      </c>
      <c r="E25" s="58"/>
      <c r="F25" s="59"/>
      <c r="G25" s="59"/>
      <c r="H25" s="59"/>
      <c r="I25" s="60"/>
      <c r="J25" s="61"/>
    </row>
    <row r="26" spans="1:10" x14ac:dyDescent="0.35">
      <c r="A26" s="74"/>
      <c r="B26" s="30" t="s">
        <v>47</v>
      </c>
      <c r="D26" s="31"/>
      <c r="E26" s="32"/>
      <c r="F26" s="33"/>
      <c r="G26" s="33"/>
      <c r="H26" s="33"/>
      <c r="I26" s="34"/>
      <c r="J26" s="35">
        <f>SUM((J3*1)+(J7*2)+(J12*2)+(J16*2)+(J19*2)+(J22*3))/12</f>
        <v>14.583333333333334</v>
      </c>
    </row>
    <row r="27" spans="1:10" ht="48" customHeight="1" x14ac:dyDescent="0.35">
      <c r="A27" s="67" t="s">
        <v>48</v>
      </c>
      <c r="B27" s="68" t="s">
        <v>49</v>
      </c>
      <c r="C27" s="20" t="s">
        <v>50</v>
      </c>
      <c r="D27" s="21" t="s">
        <v>87</v>
      </c>
      <c r="E27" s="69">
        <f>IF(OR(COUNTBLANK(D27:D32)=6,COUNTBLANK(D27:D32)=5),1,0)</f>
        <v>0</v>
      </c>
      <c r="F27" s="62">
        <f>IF(COUNTBLANK(D27:D32)=4,1,0)</f>
        <v>0</v>
      </c>
      <c r="G27" s="62">
        <f>IF(COUNTBLANK(D27:D32)=3,1,0)</f>
        <v>0</v>
      </c>
      <c r="H27" s="62">
        <f>IF(OR(COUNTBLANK(D27:D32)=2,COUNTBLANK(D27:D32)=1),1,0)</f>
        <v>1</v>
      </c>
      <c r="I27" s="63">
        <f>IF(COUNTBLANK(D27:D32)=0,1,0)</f>
        <v>0</v>
      </c>
      <c r="J27" s="64">
        <f t="array" ref="J27">_xlfn.IFS(E27=1, E2,F27=1, F2, G27=1, G2,H27=1, H2,I27=1,I2)</f>
        <v>15</v>
      </c>
    </row>
    <row r="28" spans="1:10" ht="72" x14ac:dyDescent="0.35">
      <c r="A28" s="67"/>
      <c r="B28" s="68"/>
      <c r="C28" s="1" t="s">
        <v>51</v>
      </c>
      <c r="D28" s="22" t="s">
        <v>87</v>
      </c>
      <c r="E28" s="69"/>
      <c r="F28" s="62"/>
      <c r="G28" s="62"/>
      <c r="H28" s="62"/>
      <c r="I28" s="63"/>
      <c r="J28" s="64"/>
    </row>
    <row r="29" spans="1:10" ht="36" x14ac:dyDescent="0.35">
      <c r="A29" s="67"/>
      <c r="B29" s="68"/>
      <c r="C29" s="1" t="s">
        <v>52</v>
      </c>
      <c r="D29" s="22" t="s">
        <v>87</v>
      </c>
      <c r="E29" s="69"/>
      <c r="F29" s="62"/>
      <c r="G29" s="62"/>
      <c r="H29" s="62"/>
      <c r="I29" s="63"/>
      <c r="J29" s="64"/>
    </row>
    <row r="30" spans="1:10" ht="54" x14ac:dyDescent="0.35">
      <c r="A30" s="67"/>
      <c r="B30" s="68"/>
      <c r="C30" s="1" t="s">
        <v>53</v>
      </c>
      <c r="D30" s="22" t="s">
        <v>87</v>
      </c>
      <c r="E30" s="69"/>
      <c r="F30" s="62"/>
      <c r="G30" s="62"/>
      <c r="H30" s="62"/>
      <c r="I30" s="63"/>
      <c r="J30" s="64"/>
    </row>
    <row r="31" spans="1:10" ht="36" x14ac:dyDescent="0.35">
      <c r="A31" s="67"/>
      <c r="B31" s="68"/>
      <c r="C31" s="1" t="s">
        <v>54</v>
      </c>
      <c r="D31" s="22"/>
      <c r="E31" s="69"/>
      <c r="F31" s="62"/>
      <c r="G31" s="62"/>
      <c r="H31" s="62"/>
      <c r="I31" s="63"/>
      <c r="J31" s="64"/>
    </row>
    <row r="32" spans="1:10" ht="36" x14ac:dyDescent="0.35">
      <c r="A32" s="67"/>
      <c r="B32" s="68"/>
      <c r="C32" s="23" t="s">
        <v>55</v>
      </c>
      <c r="D32" s="24"/>
      <c r="E32" s="69"/>
      <c r="F32" s="62"/>
      <c r="G32" s="62"/>
      <c r="H32" s="62"/>
      <c r="I32" s="63"/>
      <c r="J32" s="64"/>
    </row>
    <row r="33" spans="1:10" ht="31.5" customHeight="1" x14ac:dyDescent="0.35">
      <c r="A33" s="67"/>
      <c r="B33" s="65" t="s">
        <v>56</v>
      </c>
      <c r="C33" s="36" t="s">
        <v>57</v>
      </c>
      <c r="D33" s="26" t="s">
        <v>87</v>
      </c>
      <c r="E33" s="66">
        <f>IF(COUNTBLANK(D33:D36)=4,1,0)</f>
        <v>0</v>
      </c>
      <c r="F33" s="54">
        <f>IF(COUNTBLANK(D33:D36)=3,1,0)</f>
        <v>0</v>
      </c>
      <c r="G33" s="54">
        <f>IF(COUNTBLANK(D33:D36)=2,1,0)</f>
        <v>0</v>
      </c>
      <c r="H33" s="54">
        <f>IF(COUNTBLANK(D33:D36)=1,1,0)</f>
        <v>1</v>
      </c>
      <c r="I33" s="55">
        <f>IF(COUNTBLANK(D33:D36)=0,1,0)</f>
        <v>0</v>
      </c>
      <c r="J33" s="56">
        <f t="array" ref="J33">_xlfn.IFS(E33=1, E2,F33=1, F2, G33=1, G2,H33=1, H2,I33=1,I2)</f>
        <v>15</v>
      </c>
    </row>
    <row r="34" spans="1:10" x14ac:dyDescent="0.35">
      <c r="A34" s="67"/>
      <c r="B34" s="65"/>
      <c r="C34" s="37" t="s">
        <v>58</v>
      </c>
      <c r="D34" s="22" t="s">
        <v>87</v>
      </c>
      <c r="E34" s="66"/>
      <c r="F34" s="54"/>
      <c r="G34" s="54"/>
      <c r="H34" s="54"/>
      <c r="I34" s="55"/>
      <c r="J34" s="56"/>
    </row>
    <row r="35" spans="1:10" ht="36" x14ac:dyDescent="0.35">
      <c r="A35" s="67"/>
      <c r="B35" s="65"/>
      <c r="C35" s="37" t="s">
        <v>59</v>
      </c>
      <c r="D35" s="22"/>
      <c r="E35" s="66"/>
      <c r="F35" s="54"/>
      <c r="G35" s="54"/>
      <c r="H35" s="54"/>
      <c r="I35" s="55"/>
      <c r="J35" s="56"/>
    </row>
    <row r="36" spans="1:10" x14ac:dyDescent="0.35">
      <c r="A36" s="67"/>
      <c r="B36" s="65"/>
      <c r="C36" s="38" t="s">
        <v>60</v>
      </c>
      <c r="D36" s="24" t="s">
        <v>87</v>
      </c>
      <c r="E36" s="66"/>
      <c r="F36" s="54"/>
      <c r="G36" s="54"/>
      <c r="H36" s="54"/>
      <c r="I36" s="55"/>
      <c r="J36" s="56"/>
    </row>
    <row r="37" spans="1:10" ht="31.5" customHeight="1" x14ac:dyDescent="0.35">
      <c r="A37" s="67"/>
      <c r="B37" s="65" t="s">
        <v>61</v>
      </c>
      <c r="C37" s="36" t="s">
        <v>62</v>
      </c>
      <c r="D37" s="26" t="s">
        <v>87</v>
      </c>
      <c r="E37" s="66">
        <f>IF(OR(COUNTBLANK(D37:D42)=6,COUNTBLANK(D37:D42)=5),1,0)</f>
        <v>0</v>
      </c>
      <c r="F37" s="54">
        <f>IF(COUNTBLANK(D37:D42)=4,1,0)</f>
        <v>0</v>
      </c>
      <c r="G37" s="54">
        <f>IF(COUNTBLANK(D37:D42)=3,1,0)</f>
        <v>1</v>
      </c>
      <c r="H37" s="54">
        <f>IF(OR(COUNTBLANK(D37:D42)=2,COUNTBLANK(D37:D42)=1),1,0)</f>
        <v>0</v>
      </c>
      <c r="I37" s="55">
        <f>IF(COUNTBLANK(D37:D42)=0,1,0)</f>
        <v>0</v>
      </c>
      <c r="J37" s="56">
        <f t="array" ref="J37">_xlfn.IFS(E37=1, E2,F37=1, F2, G37=1, G2,H37=1, H2,I37=1,I2)</f>
        <v>11</v>
      </c>
    </row>
    <row r="38" spans="1:10" ht="36" x14ac:dyDescent="0.35">
      <c r="A38" s="67"/>
      <c r="B38" s="65"/>
      <c r="C38" s="37" t="s">
        <v>63</v>
      </c>
      <c r="D38" s="22"/>
      <c r="E38" s="66"/>
      <c r="F38" s="54"/>
      <c r="G38" s="54"/>
      <c r="H38" s="54"/>
      <c r="I38" s="55"/>
      <c r="J38" s="56"/>
    </row>
    <row r="39" spans="1:10" ht="31.5" customHeight="1" x14ac:dyDescent="0.35">
      <c r="A39" s="67"/>
      <c r="B39" s="65"/>
      <c r="C39" s="37" t="s">
        <v>64</v>
      </c>
      <c r="D39" s="22" t="s">
        <v>87</v>
      </c>
      <c r="E39" s="66"/>
      <c r="F39" s="54"/>
      <c r="G39" s="54"/>
      <c r="H39" s="54"/>
      <c r="I39" s="55"/>
      <c r="J39" s="56"/>
    </row>
    <row r="40" spans="1:10" ht="36" x14ac:dyDescent="0.35">
      <c r="A40" s="67"/>
      <c r="B40" s="65"/>
      <c r="C40" s="37" t="s">
        <v>65</v>
      </c>
      <c r="D40" s="22"/>
      <c r="E40" s="66"/>
      <c r="F40" s="54"/>
      <c r="G40" s="54"/>
      <c r="H40" s="54"/>
      <c r="I40" s="55"/>
      <c r="J40" s="56"/>
    </row>
    <row r="41" spans="1:10" ht="36" x14ac:dyDescent="0.35">
      <c r="A41" s="67"/>
      <c r="B41" s="65"/>
      <c r="C41" s="37" t="s">
        <v>66</v>
      </c>
      <c r="D41" s="22" t="s">
        <v>87</v>
      </c>
      <c r="E41" s="66"/>
      <c r="F41" s="54"/>
      <c r="G41" s="54"/>
      <c r="H41" s="54"/>
      <c r="I41" s="55"/>
      <c r="J41" s="56"/>
    </row>
    <row r="42" spans="1:10" ht="54" x14ac:dyDescent="0.35">
      <c r="A42" s="67"/>
      <c r="B42" s="65"/>
      <c r="C42" s="38" t="s">
        <v>67</v>
      </c>
      <c r="D42" s="24"/>
      <c r="E42" s="66"/>
      <c r="F42" s="54"/>
      <c r="G42" s="54"/>
      <c r="H42" s="54"/>
      <c r="I42" s="55"/>
      <c r="J42" s="56"/>
    </row>
    <row r="43" spans="1:10" ht="15.75" customHeight="1" x14ac:dyDescent="0.35">
      <c r="A43" s="67"/>
      <c r="B43" s="57" t="s">
        <v>68</v>
      </c>
      <c r="C43" s="36" t="s">
        <v>69</v>
      </c>
      <c r="D43" s="26" t="s">
        <v>87</v>
      </c>
      <c r="E43" s="58">
        <f>IF(COUNTBLANK(D43:D46)=4,1,0)</f>
        <v>0</v>
      </c>
      <c r="F43" s="59">
        <f>IF(COUNTBLANK(D43:D46)=3,1,0)</f>
        <v>0</v>
      </c>
      <c r="G43" s="59">
        <f>IF(COUNTBLANK(D43:D46)=2,1,0)</f>
        <v>0</v>
      </c>
      <c r="H43" s="59">
        <f>IF(COUNTBLANK(D43:D46)=1,1,0)</f>
        <v>0</v>
      </c>
      <c r="I43" s="60">
        <f>IF(COUNTBLANK(D43:D46)=0,1,0)</f>
        <v>1</v>
      </c>
      <c r="J43" s="61">
        <f t="array" ref="J43">_xlfn.IFS(E43=1, E2,F43=1, F2, G43=1, G2,H43=1, H2,I43=1,I2)</f>
        <v>18</v>
      </c>
    </row>
    <row r="44" spans="1:10" x14ac:dyDescent="0.35">
      <c r="A44" s="67"/>
      <c r="B44" s="57"/>
      <c r="C44" s="37" t="s">
        <v>70</v>
      </c>
      <c r="D44" s="22" t="s">
        <v>87</v>
      </c>
      <c r="E44" s="58"/>
      <c r="F44" s="59"/>
      <c r="G44" s="59"/>
      <c r="H44" s="59"/>
      <c r="I44" s="60"/>
      <c r="J44" s="61"/>
    </row>
    <row r="45" spans="1:10" ht="36" x14ac:dyDescent="0.35">
      <c r="A45" s="67"/>
      <c r="B45" s="57"/>
      <c r="C45" s="37" t="s">
        <v>71</v>
      </c>
      <c r="D45" s="22" t="s">
        <v>87</v>
      </c>
      <c r="E45" s="58"/>
      <c r="F45" s="59"/>
      <c r="G45" s="59"/>
      <c r="H45" s="59"/>
      <c r="I45" s="60"/>
      <c r="J45" s="61"/>
    </row>
    <row r="46" spans="1:10" x14ac:dyDescent="0.35">
      <c r="A46" s="67"/>
      <c r="B46" s="57"/>
      <c r="C46" s="39" t="s">
        <v>72</v>
      </c>
      <c r="D46" s="29" t="s">
        <v>87</v>
      </c>
      <c r="E46" s="58"/>
      <c r="F46" s="59"/>
      <c r="G46" s="59"/>
      <c r="H46" s="59"/>
      <c r="I46" s="60"/>
      <c r="J46" s="61"/>
    </row>
    <row r="47" spans="1:10" ht="15.75" customHeight="1" x14ac:dyDescent="0.35">
      <c r="A47" s="67"/>
      <c r="B47" s="70" t="s">
        <v>73</v>
      </c>
      <c r="C47" s="40" t="s">
        <v>74</v>
      </c>
      <c r="D47" s="21" t="s">
        <v>87</v>
      </c>
      <c r="E47" s="71">
        <f>IF(OR(COUNTBLANK(D47:D52)=6,COUNTBLANK(D47:D52)=5),1,0)</f>
        <v>0</v>
      </c>
      <c r="F47" s="50">
        <f>IF(COUNTBLANK(D47:D52)=4,1,0)</f>
        <v>0</v>
      </c>
      <c r="G47" s="50">
        <f>IF(COUNTBLANK(D47:D52)=3,1,0)</f>
        <v>0</v>
      </c>
      <c r="H47" s="50">
        <f>IF(OR(COUNTBLANK(D47:D52)=2,COUNTBLANK(D47:D52)=1),1,0)</f>
        <v>0</v>
      </c>
      <c r="I47" s="51">
        <f>IF(COUNTBLANK(D47:D52)=0,1,0)</f>
        <v>1</v>
      </c>
      <c r="J47" s="52">
        <f t="array" ref="J47">_xlfn.IFS(E47=1, E2,F47=1, F2, G47=1, G2,H47=1, H2,I47=1,I2)</f>
        <v>18</v>
      </c>
    </row>
    <row r="48" spans="1:10" ht="72" x14ac:dyDescent="0.35">
      <c r="A48" s="67"/>
      <c r="B48" s="67"/>
      <c r="C48" s="43" t="s">
        <v>75</v>
      </c>
      <c r="D48" s="22" t="s">
        <v>87</v>
      </c>
      <c r="E48" s="71"/>
      <c r="F48" s="50"/>
      <c r="G48" s="50"/>
      <c r="H48" s="50"/>
      <c r="I48" s="51"/>
      <c r="J48" s="52"/>
    </row>
    <row r="49" spans="1:10" x14ac:dyDescent="0.35">
      <c r="A49" s="67"/>
      <c r="B49" s="67"/>
      <c r="C49" s="43" t="s">
        <v>76</v>
      </c>
      <c r="D49" s="22" t="s">
        <v>87</v>
      </c>
      <c r="E49" s="71"/>
      <c r="F49" s="50"/>
      <c r="G49" s="50"/>
      <c r="H49" s="50"/>
      <c r="I49" s="51"/>
      <c r="J49" s="52"/>
    </row>
    <row r="50" spans="1:10" x14ac:dyDescent="0.35">
      <c r="A50" s="67"/>
      <c r="B50" s="67"/>
      <c r="C50" s="43" t="s">
        <v>77</v>
      </c>
      <c r="D50" s="22" t="s">
        <v>87</v>
      </c>
      <c r="E50" s="71"/>
      <c r="F50" s="50"/>
      <c r="G50" s="50"/>
      <c r="H50" s="50"/>
      <c r="I50" s="51"/>
      <c r="J50" s="52"/>
    </row>
    <row r="51" spans="1:10" ht="21" customHeight="1" x14ac:dyDescent="0.35">
      <c r="A51" s="67"/>
      <c r="B51" s="67"/>
      <c r="C51" s="43" t="s">
        <v>78</v>
      </c>
      <c r="D51" s="22" t="s">
        <v>87</v>
      </c>
      <c r="E51" s="71"/>
      <c r="F51" s="50"/>
      <c r="G51" s="50"/>
      <c r="H51" s="50"/>
      <c r="I51" s="51"/>
      <c r="J51" s="52"/>
    </row>
    <row r="52" spans="1:10" ht="54" x14ac:dyDescent="0.35">
      <c r="A52" s="67"/>
      <c r="B52" s="70"/>
      <c r="C52" s="44" t="s">
        <v>79</v>
      </c>
      <c r="D52" s="29" t="s">
        <v>87</v>
      </c>
      <c r="E52" s="71"/>
      <c r="F52" s="50"/>
      <c r="G52" s="50"/>
      <c r="H52" s="50"/>
      <c r="I52" s="51"/>
      <c r="J52" s="52"/>
    </row>
    <row r="53" spans="1:10" x14ac:dyDescent="0.35">
      <c r="A53" s="67"/>
      <c r="B53" s="45" t="s">
        <v>80</v>
      </c>
      <c r="C53" s="46"/>
      <c r="D53" s="47"/>
      <c r="E53" s="41"/>
      <c r="F53" s="41"/>
      <c r="G53" s="41"/>
      <c r="H53" s="41"/>
      <c r="I53" s="41"/>
      <c r="J53" s="35">
        <f>SUM((J27*2)+(J33*2)+(J37*2)+(J43*1)+(J47*4))/11</f>
        <v>15.636363636363637</v>
      </c>
    </row>
    <row r="54" spans="1:10" ht="31.5" customHeight="1" x14ac:dyDescent="0.35">
      <c r="A54" s="53" t="s">
        <v>81</v>
      </c>
      <c r="B54" s="53"/>
      <c r="C54" s="48"/>
      <c r="D54" s="49"/>
      <c r="E54" s="41"/>
      <c r="F54" s="41"/>
      <c r="G54" s="41"/>
      <c r="H54" s="41"/>
      <c r="I54" s="42"/>
      <c r="J54" s="35">
        <f t="array" ref="J54">_xlfn.IFS(AND(J26&gt;=9.5,J53&gt;=9.5),ROUND(SUM(J26+J53)/2,0),(AND(J26&lt;9.5,J53&gt;=9.5)),ROUND(J26,0),(AND(J26&gt;=9.5,J53&lt;9.5)),ROUND(J53,0),(AND(J26&lt;9.5,J53&lt;9.5)),ROUND(SUM(J26+J53)/2,0))</f>
        <v>15</v>
      </c>
    </row>
  </sheetData>
  <mergeCells count="80">
    <mergeCell ref="A3:A26"/>
    <mergeCell ref="B3:B6"/>
    <mergeCell ref="E3:E6"/>
    <mergeCell ref="F3:F6"/>
    <mergeCell ref="G3:G6"/>
    <mergeCell ref="B12:B15"/>
    <mergeCell ref="E12:E15"/>
    <mergeCell ref="F12:F15"/>
    <mergeCell ref="G12:G15"/>
    <mergeCell ref="B19:B21"/>
    <mergeCell ref="E19:E21"/>
    <mergeCell ref="F19:F21"/>
    <mergeCell ref="G19:G21"/>
    <mergeCell ref="H3:H6"/>
    <mergeCell ref="I3:I6"/>
    <mergeCell ref="J3:J6"/>
    <mergeCell ref="B7:B11"/>
    <mergeCell ref="E7:E11"/>
    <mergeCell ref="F7:F11"/>
    <mergeCell ref="G7:G11"/>
    <mergeCell ref="H7:H11"/>
    <mergeCell ref="I7:I11"/>
    <mergeCell ref="J7:J11"/>
    <mergeCell ref="H12:H15"/>
    <mergeCell ref="I12:I15"/>
    <mergeCell ref="J12:J15"/>
    <mergeCell ref="B16:B18"/>
    <mergeCell ref="E16:E18"/>
    <mergeCell ref="F16:F18"/>
    <mergeCell ref="G16:G18"/>
    <mergeCell ref="H16:H18"/>
    <mergeCell ref="I16:I18"/>
    <mergeCell ref="J16:J18"/>
    <mergeCell ref="H19:H21"/>
    <mergeCell ref="I19:I21"/>
    <mergeCell ref="J19:J21"/>
    <mergeCell ref="B22:B25"/>
    <mergeCell ref="E22:E25"/>
    <mergeCell ref="F22:F25"/>
    <mergeCell ref="G22:G25"/>
    <mergeCell ref="H22:H25"/>
    <mergeCell ref="I22:I25"/>
    <mergeCell ref="J22:J25"/>
    <mergeCell ref="E37:E42"/>
    <mergeCell ref="F37:F42"/>
    <mergeCell ref="G37:G42"/>
    <mergeCell ref="B47:B52"/>
    <mergeCell ref="E47:E52"/>
    <mergeCell ref="F47:F52"/>
    <mergeCell ref="G47:G52"/>
    <mergeCell ref="H27:H32"/>
    <mergeCell ref="I27:I32"/>
    <mergeCell ref="J27:J32"/>
    <mergeCell ref="B33:B36"/>
    <mergeCell ref="E33:E36"/>
    <mergeCell ref="F33:F36"/>
    <mergeCell ref="G33:G36"/>
    <mergeCell ref="H33:H36"/>
    <mergeCell ref="I33:I36"/>
    <mergeCell ref="J33:J36"/>
    <mergeCell ref="B27:B32"/>
    <mergeCell ref="E27:E32"/>
    <mergeCell ref="F27:F32"/>
    <mergeCell ref="G27:G32"/>
    <mergeCell ref="H47:H52"/>
    <mergeCell ref="I47:I52"/>
    <mergeCell ref="J47:J52"/>
    <mergeCell ref="A54:B54"/>
    <mergeCell ref="H37:H42"/>
    <mergeCell ref="I37:I42"/>
    <mergeCell ref="J37:J42"/>
    <mergeCell ref="B43:B46"/>
    <mergeCell ref="E43:E46"/>
    <mergeCell ref="F43:F46"/>
    <mergeCell ref="G43:G46"/>
    <mergeCell ref="H43:H46"/>
    <mergeCell ref="I43:I46"/>
    <mergeCell ref="J43:J46"/>
    <mergeCell ref="A27:A53"/>
    <mergeCell ref="B37:B42"/>
  </mergeCells>
  <conditionalFormatting sqref="E3:F52">
    <cfRule type="cellIs" dxfId="7" priority="2" operator="equal">
      <formula>1</formula>
    </cfRule>
  </conditionalFormatting>
  <conditionalFormatting sqref="F3:I52">
    <cfRule type="cellIs" dxfId="6" priority="3" operator="equal">
      <formula>1</formula>
    </cfRule>
  </conditionalFormatting>
  <conditionalFormatting sqref="J54">
    <cfRule type="expression" dxfId="5" priority="4">
      <formula>$J$54&gt;=9.5</formula>
    </cfRule>
    <cfRule type="expression" dxfId="4" priority="5">
      <formula>$J$54&lt;9.5</formula>
    </cfRule>
  </conditionalFormatting>
  <conditionalFormatting sqref="J53">
    <cfRule type="expression" dxfId="3" priority="6">
      <formula>$J$53&gt;=9.5</formula>
    </cfRule>
    <cfRule type="expression" dxfId="2" priority="7">
      <formula>$J$53&lt;9.5</formula>
    </cfRule>
  </conditionalFormatting>
  <conditionalFormatting sqref="J26">
    <cfRule type="expression" dxfId="1" priority="8">
      <formula>$J$26&gt;=9.5</formula>
    </cfRule>
    <cfRule type="expression" dxfId="0" priority="9">
      <formula>$J$26&lt;9.5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Persoonlijke informatie</vt:lpstr>
      <vt:lpstr>Evaluatiecriteria 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Alexander Bal</cp:lastModifiedBy>
  <cp:revision>3</cp:revision>
  <dcterms:created xsi:type="dcterms:W3CDTF">2022-03-07T07:54:07Z</dcterms:created>
  <dcterms:modified xsi:type="dcterms:W3CDTF">2023-05-26T13:27:09Z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0x010100451CA9446E2F8547A168A2B34D8F2025</vt:lpwstr>
  </property>
  <property fmtid="{D5CDD505-2E9C-101B-9397-08002B2CF9AE}" pid="3" name="MediaServiceImageTags">
    <vt:lpwstr/>
  </property>
</Properties>
</file>